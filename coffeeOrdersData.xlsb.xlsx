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ORCAS\Downloads\"/>
    </mc:Choice>
  </mc:AlternateContent>
  <xr:revisionPtr revIDLastSave="0" documentId="13_ncr:1_{2E45152F-8FE0-4455-968C-768E3F4AED1A}" xr6:coauthVersionLast="47" xr6:coauthVersionMax="47" xr10:uidLastSave="{00000000-0000-0000-0000-000000000000}"/>
  <bookViews>
    <workbookView xWindow="-120" yWindow="-120" windowWidth="20730" windowHeight="11160" xr2:uid="{00000000-000D-0000-FFFF-FFFF00000000}"/>
  </bookViews>
  <sheets>
    <sheet name="total sales" sheetId="21" r:id="rId1"/>
    <sheet name="Sales by Country" sheetId="23" r:id="rId2"/>
    <sheet name="Top Customers" sheetId="25" r:id="rId3"/>
    <sheet name="orders" sheetId="17" r:id="rId4"/>
    <sheet name="customers" sheetId="13" r:id="rId5"/>
    <sheet name="products" sheetId="2" r:id="rId6"/>
    <sheet name="Dashboard" sheetId="26"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c r="K2" i="17"/>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<sst xmlns="http://schemas.openxmlformats.org/spreadsheetml/2006/main" count="11128" uniqueCount="6221">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</sst>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30">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Light"/>
        <family val="2"/>
        <scheme val="major"/>
      </font>
    </dxf>
    <dxf>
      <font>
        <sz val="14"/>
        <color theme="0"/>
        <name val="Calibri"/>
        <family val="2"/>
        <scheme val="minor"/>
      </font>
      <fill>
        <patternFill patternType="solid">
          <fgColor theme="0"/>
          <bgColor theme="4" tint="0.39994506668294322"/>
        </patternFill>
      </fill>
      <border diagonalUp="0" diagonalDown="0">
        <left/>
        <right/>
        <top/>
        <bottom/>
        <vertical/>
        <horizontal/>
      </border>
    </dxf>
    <dxf>
      <font>
        <b/>
        <i val="0"/>
        <sz val="12"/>
        <color theme="0"/>
        <name val="Calibri Light"/>
        <family val="2"/>
        <scheme val="major"/>
      </font>
    </dxf>
    <dxf>
      <fill>
        <patternFill>
          <bgColor theme="4" tint="0.39994506668294322"/>
        </patternFill>
      </fill>
    </dxf>
  </dxfs>
  <tableStyles count="9" defaultTableStyle="TableStyleMedium2" defaultPivotStyle="PivotStyleMedium9">
    <tableStyle name="Blue Slicer" pivot="0" table="0" count="9" xr9:uid="{E5E64814-BD4D-415C-A75F-D16173E79848}">
      <tableStyleElement type="wholeTable" dxfId="29"/>
      <tableStyleElement type="headerRow" dxfId="28"/>
    </tableStyle>
    <tableStyle name="Blue Timeline" pivot="0" table="0" count="9" xr9:uid="{E9CC1E8F-1AA7-4FC2-9220-BE8AAEB24207}">
      <tableStyleElement type="wholeTable" dxfId="27"/>
      <tableStyleElement type="headerRow" dxfId="26"/>
    </tableStyle>
    <tableStyle name="Timeline Style 2" pivot="0" table="0" count="8" xr9:uid="{A281D952-611E-427B-AA1C-99771BEC304D}">
      <tableStyleElement type="wholeTable" dxfId="25"/>
      <tableStyleElement type="headerRow" dxfId="24"/>
    </tableStyle>
    <tableStyle name="Timeline Style 3" pivot="0" table="0" count="8" xr9:uid="{9AD090B5-E8D6-4DAB-ABA2-BBFDDC9C7C0B}">
      <tableStyleElement type="wholeTable" dxfId="23"/>
      <tableStyleElement type="headerRow" dxfId="22"/>
    </tableStyle>
    <tableStyle name="Timeline Style 4" pivot="0" table="0" count="8" xr9:uid="{43A21774-6F49-473D-BAC9-A9E3D7B7EB8D}">
      <tableStyleElement type="wholeTable" dxfId="21"/>
      <tableStyleElement type="headerRow" dxfId="20"/>
    </tableStyle>
    <tableStyle name="Timeline Style 5" pivot="0" table="0" count="8" xr9:uid="{84754148-4ACF-44A6-84B7-86CEB6F44A5A}">
      <tableStyleElement type="wholeTable" dxfId="19"/>
      <tableStyleElement type="headerRow" dxfId="18"/>
    </tableStyle>
    <tableStyle name="Timeline Style 6" pivot="0" table="0" count="8" xr9:uid="{0A26F416-DB81-45EA-8376-97384AB51447}">
      <tableStyleElement type="wholeTable" dxfId="17"/>
      <tableStyleElement type="headerRow" dxfId="16"/>
    </tableStyle>
    <tableStyle name="Timeline Style 7" pivot="0" table="0" count="8" xr9:uid="{5CD0C1DC-54A5-42AF-929B-2612EFD06381}">
      <tableStyleElement type="wholeTable" dxfId="15"/>
      <tableStyleElement type="headerRow" dxfId="14"/>
    </tableStyle>
    <tableStyle name="Timeline Style 8" pivot="0" table="0" count="8" xr9:uid="{9A235273-CCF6-45E6-A525-CD95BB43F3AB}">
      <tableStyleElement type="wholeTable" dxfId="13"/>
      <tableStyleElement type="headerRow" dxfId="12"/>
    </tableStyle>
  </tableStyles>
  <colors>
    <mruColors>
      <color rgb="FF876AE4"/>
      <color rgb="FFBAAEEC"/>
      <color rgb="FFD8CEF6"/>
      <color rgb="FF574DDB"/>
      <color rgb="FF0D1047"/>
      <color rgb="FFAEAEAE"/>
    </mruColors>
  </colors>
  <extLst>
    <ext xmlns:x14="http://schemas.microsoft.com/office/spreadsheetml/2009/9/main" uri="{46F421CA-312F-682f-3DD2-61675219B42D}">
      <x14:dxfs count="3">
        <dxf>
          <font>
            <color theme="0"/>
          </font>
        </dxf>
        <dxf>
          <font>
            <color theme="0"/>
          </font>
        </dxf>
        <dxf>
          <font>
            <sz val="11"/>
            <color theme="0"/>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Blue Slicer">
        <x14:slicerStyle name="Blue Slicer">
          <x14:slicerStyleElements>
            <x14:slicerStyleElement type="unselectedItemWithData"/>
            <x14:slicerStyleElement type="unselectedItemWithNoData"/>
            <x14:slicerStyleElement type="selectedItemWithData" dxfId="2"/>
            <x14:slicerStyleElement type="selectedItemWithNoData" dxfId="1"/>
            <x14:slicerStyleElement type="hoveredUnselectedItemWithData"/>
            <x14:slicerStyleElement type="hoveredSelectedItemWithData" dxfId="0"/>
            <x14:slicerStyleElement type="hoveredSelectedItemWithNoData"/>
          </x14:slicerStyleElements>
        </x14:slicerStyle>
      </x14:slicerStyles>
    </ext>
    <ext xmlns:x15="http://schemas.microsoft.com/office/spreadsheetml/2010/11/main" uri="{A0A4C193-F2C1-4fcb-8827-314CF55A85BB}">
      <x15:dxfs count="4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0070C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patternFill>
          </fill>
        </dxf>
        <dxf>
          <fill>
            <patternFill patternType="solid">
              <fgColor theme="0" tint="-0.14996795556505021"/>
              <bgColor theme="0"/>
            </patternFill>
          </fill>
        </dxf>
        <dxf>
          <fill>
            <patternFill patternType="solid">
              <fgColor theme="0"/>
              <bgColor rgb="FF0070C0"/>
            </patternFill>
          </fill>
        </dxf>
        <dxf>
          <font>
            <sz val="9"/>
            <color theme="0"/>
          </font>
        </dxf>
        <dxf>
          <font>
            <sz val="9"/>
            <color theme="0"/>
          </font>
        </dxf>
        <dxf>
          <font>
            <sz val="10"/>
            <color theme="0"/>
          </font>
        </dxf>
        <dxf>
          <font>
            <sz val="11"/>
            <color theme="0"/>
            <name val="Calibri"/>
            <family val="2"/>
            <scheme val="minor"/>
          </font>
        </dxf>
      </x15:dxfs>
    </ext>
    <ext xmlns:x15="http://schemas.microsoft.com/office/spreadsheetml/2010/11/main" uri="{9260A510-F301-46a8-8635-F512D64BE5F5}">
      <x15:timelineStyles defaultTimelineStyle="Blue Timeline">
        <x15:timelineStyle name="Blue Timeline">
          <x15:timelineStyleElements>
            <x15:timelineStyleElement type="selectionLabel" dxfId="48"/>
            <x15:timelineStyleElement type="timeLevel" dxfId="47"/>
            <x15:timelineStyleElement type="periodLabel1" dxfId="46"/>
            <x15:timelineStyleElement type="periodLabel2" dxfId="45"/>
            <x15:timelineStyleElement type="selectedTimeBlock" dxfId="44"/>
            <x15:timelineStyleElement type="unselectedTimeBlock" dxfId="43"/>
            <x15:timelineStyleElement type="selectedTimeBlockSpace" dxfId="42"/>
          </x15:timelineStyleElements>
        </x15:timelineStyle>
        <x15:timelineStyle name="Timeline Style 2">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3">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4">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5">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6">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7">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8">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[coffeeOrdersData.xlsb.xlsx]total sales!Total Sales</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3C0-45AC-9AAF-0CF43979E27B}"/>
            </c:ext>
          </c:extLst>
        </c:ser>
        <c:ser>
          <c:idx val="1"/>
          <c:order val="1"/>
          <c:tx>
            <c:strRef>
              <c:f>'total sales'!$D$3:$D$4</c:f>
              <c:strCache>
                <c:ptCount val="1"/>
                <c:pt idx="0">
                  <c:v>Excelsa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3C0-45AC-9AAF-0CF43979E27B}"/>
            </c:ext>
          </c:extLst>
        </c:ser>
        <c:ser>
          <c:idx val="2"/>
          <c:order val="2"/>
          <c:tx>
            <c:strRef>
              <c:f>'total sales'!$E$3:$E$4</c:f>
              <c:strCache>
                <c:ptCount val="1"/>
                <c:pt idx="0">
                  <c:v>Liberica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3C0-45AC-9AAF-0CF43979E27B}"/>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3C0-45AC-9AAF-0CF43979E27B}"/>
            </c:ext>
          </c:extLst>
        </c:ser>
        <c:dLbls>
          <c:showLegendKey val="0"/>
          <c:showVal val="0"/>
          <c:showCatName val="0"/>
          <c:showSerName val="0"/>
          <c:showPercent val="0"/>
          <c:showBubbleSize val="0"/>
        </c:dLbls>
        <c:smooth val="0"/>
        <c:axId val="1566071375"/>
        <c:axId val="1566072335"/>
      </c:lineChart>
      <c:catAx>
        <c:axId val="156607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072335"/>
        <c:crosses val="autoZero"/>
        <c:auto val="1"/>
        <c:lblAlgn val="ctr"/>
        <c:lblOffset val="100"/>
        <c:noMultiLvlLbl val="0"/>
      </c:catAx>
      <c:valAx>
        <c:axId val="15660723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07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[coffeeOrdersData.xlsb.xlsx]Sales by Country!Total Sales</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Country</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50000"/>
            </a:schemeClr>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F452-4194-8D80-269E41325AF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F452-4194-8D80-269E41325AF5}"/>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F452-4194-8D80-269E41325A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452-4194-8D80-269E41325AF5}"/>
            </c:ext>
          </c:extLst>
        </c:ser>
        <c:dLbls>
          <c:dLblPos val="outEnd"/>
          <c:showLegendKey val="0"/>
          <c:showVal val="1"/>
          <c:showCatName val="0"/>
          <c:showSerName val="0"/>
          <c:showPercent val="0"/>
          <c:showBubbleSize val="0"/>
        </c:dLbls>
        <c:gapWidth val="182"/>
        <c:axId val="95301215"/>
        <c:axId val="95308895"/>
      </c:barChart>
      <c:catAx>
        <c:axId val="9530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308895"/>
        <c:crosses val="autoZero"/>
        <c:auto val="1"/>
        <c:lblAlgn val="ctr"/>
        <c:lblOffset val="100"/>
        <c:noMultiLvlLbl val="0"/>
      </c:catAx>
      <c:valAx>
        <c:axId val="9530889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3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[coffeeOrdersData.xlsb.xlsx]Top Customers!Total Sales</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12A-4AD5-9A45-9E545B969659}"/>
            </c:ext>
          </c:extLst>
        </c:ser>
        <c:dLbls>
          <c:dLblPos val="outEnd"/>
          <c:showLegendKey val="0"/>
          <c:showVal val="1"/>
          <c:showCatName val="0"/>
          <c:showSerName val="0"/>
          <c:showPercent val="0"/>
          <c:showBubbleSize val="0"/>
        </c:dLbls>
        <c:gapWidth val="182"/>
        <c:axId val="95301215"/>
        <c:axId val="95308895"/>
      </c:barChart>
      <c:catAx>
        <c:axId val="9530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308895"/>
        <c:crosses val="autoZero"/>
        <c:auto val="1"/>
        <c:lblAlgn val="ctr"/>
        <c:lblOffset val="100"/>
        <c:noMultiLvlLbl val="0"/>
      </c:catAx>
      <c:valAx>
        <c:axId val="95308895"/>
        <c:scaling>
          <c:orientation val="minMax"/>
        </c:scaling>
        <c:delete val="0"/>
        <c:axPos val="b"/>
        <c:majorGridlines>
          <c:spPr>
            <a:ln w="9525" cap="flat" cmpd="sng" algn="ctr">
              <a:solidFill>
                <a:schemeClr val="bg1"/>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3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9524</xdr:colOff>
      <xdr:row>1</xdr:row>
      <xdr:rowOff>0</xdr:rowOff>
    </xdr:from>
    <xdr:to>
      <xdr:col>18</xdr:col>
      <xdr:colOff>600075</xdr:colOff>
      <xdr:row>4</xdr:row>
      <xdr:rowOff>0</xdr:rowOff>
    </xdr:to>
    <xdr:sp macro="" textlink="">
      <xdr:nvSpPr>
        <xdr:cNvPr id="2" name="Rectangle 1">
          <a:extLst>
            <a:ext uri="{FF2B5EF4-FFF2-40B4-BE49-F238E27FC236}">
              <a16:creationId xmlns:a16="http://schemas.microsoft.com/office/drawing/2014/main" id="{908B5704-EA96-BE75-964F-0C0979578C4E}"/>
            </a:ext>
          </a:extLst>
        </xdr:cNvPr>
        <xdr:cNvSpPr/>
      </xdr:nvSpPr>
      <xdr:spPr>
        <a:xfrm>
          <a:off x="123824" y="57150"/>
          <a:ext cx="10953751" cy="5715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COFFEE</a:t>
          </a:r>
          <a:r>
            <a:rPr lang="en-US" sz="2000" b="1" baseline="0">
              <a:solidFill>
                <a:schemeClr val="bg1"/>
              </a:solidFill>
            </a:rPr>
            <a:t> SALES DASHBOARD</a:t>
          </a:r>
          <a:endParaRPr lang="en-KE" sz="2000" b="1">
            <a:solidFill>
              <a:schemeClr val="bg1"/>
            </a:solidFill>
          </a:endParaRPr>
        </a:p>
      </xdr:txBody>
    </xdr:sp>
    <xdr:clientData/>
  </xdr:twoCellAnchor>
  <xdr:twoCellAnchor>
    <xdr:from>
      <xdr:col>1</xdr:col>
      <xdr:colOff>1</xdr:colOff>
      <xdr:row>13</xdr:row>
      <xdr:rowOff>33337</xdr:rowOff>
    </xdr:from>
    <xdr:to>
      <xdr:col>10</xdr:col>
      <xdr:colOff>314325</xdr:colOff>
      <xdr:row>33</xdr:row>
      <xdr:rowOff>0</xdr:rowOff>
    </xdr:to>
    <xdr:graphicFrame macro="">
      <xdr:nvGraphicFramePr>
        <xdr:cNvPr id="3" name="Total Sales">
          <a:extLst>
            <a:ext uri="{FF2B5EF4-FFF2-40B4-BE49-F238E27FC236}">
              <a16:creationId xmlns:a16="http://schemas.microsoft.com/office/drawing/2014/main" id="{1006A0F0-3AF7-4032-979D-F5DFB5A72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114299</xdr:colOff>
      <xdr:row>4</xdr:row>
      <xdr:rowOff>28575</xdr:rowOff>
    </xdr:from>
    <xdr:to>
      <xdr:col>14</xdr:col>
      <xdr:colOff>9524</xdr:colOff>
      <xdr:row>12</xdr:row>
      <xdr:rowOff>180975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27976B8-96A8-4372-A302-58C39B642D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299" y="657225"/>
              <a:ext cx="7934325" cy="16764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14</xdr:col>
      <xdr:colOff>38102</xdr:colOff>
      <xdr:row>7</xdr:row>
      <xdr:rowOff>171450</xdr:rowOff>
    </xdr:from>
    <xdr:to>
      <xdr:col>16</xdr:col>
      <xdr:colOff>190500</xdr:colOff>
      <xdr:row>13</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4E7C3D2E-4AFF-4DA8-82A6-49152A8DAAE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077202" y="1371600"/>
              <a:ext cx="1371598" cy="9715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4</xdr:row>
      <xdr:rowOff>38099</xdr:rowOff>
    </xdr:from>
    <xdr:to>
      <xdr:col>18</xdr:col>
      <xdr:colOff>609599</xdr:colOff>
      <xdr:row>7</xdr:row>
      <xdr:rowOff>161924</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11110A4-18CB-4AC6-8523-4A37339DE25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77200" y="666749"/>
              <a:ext cx="3009899" cy="6953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209551</xdr:colOff>
      <xdr:row>7</xdr:row>
      <xdr:rowOff>171451</xdr:rowOff>
    </xdr:from>
    <xdr:to>
      <xdr:col>19</xdr:col>
      <xdr:colOff>9525</xdr:colOff>
      <xdr:row>13</xdr:row>
      <xdr:rowOff>9525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E6EA0A7C-FC30-4B97-B515-178F372D527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467851" y="1371601"/>
              <a:ext cx="1628774" cy="9810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352425</xdr:colOff>
      <xdr:row>13</xdr:row>
      <xdr:rowOff>28575</xdr:rowOff>
    </xdr:from>
    <xdr:to>
      <xdr:col>19</xdr:col>
      <xdr:colOff>0</xdr:colOff>
      <xdr:row>22</xdr:row>
      <xdr:rowOff>28575</xdr:rowOff>
    </xdr:to>
    <xdr:graphicFrame macro="">
      <xdr:nvGraphicFramePr>
        <xdr:cNvPr id="8" name="Sales by Country">
          <a:extLst>
            <a:ext uri="{FF2B5EF4-FFF2-40B4-BE49-F238E27FC236}">
              <a16:creationId xmlns:a16="http://schemas.microsoft.com/office/drawing/2014/main" id="{6E25F894-E093-4984-AB20-02574DCDF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22</xdr:row>
      <xdr:rowOff>47624</xdr:rowOff>
    </xdr:from>
    <xdr:to>
      <xdr:col>18</xdr:col>
      <xdr:colOff>600075</xdr:colOff>
      <xdr:row>32</xdr:row>
      <xdr:rowOff>190499</xdr:rowOff>
    </xdr:to>
    <xdr:graphicFrame macro="">
      <xdr:nvGraphicFramePr>
        <xdr:cNvPr id="9" name="Top 5 Customers">
          <a:extLst>
            <a:ext uri="{FF2B5EF4-FFF2-40B4-BE49-F238E27FC236}">
              <a16:creationId xmlns:a16="http://schemas.microsoft.com/office/drawing/2014/main" id="{ACE46BF6-032C-4B00-828A-26AE0ABCA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CAS" refreshedDate="46071.595804282406" createdVersion="8" refreshedVersion="8" minRefreshableVersion="3" recordCount="1000" xr:uid="{4394DADD-28B5-4637-8272-03253305BF17}">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31666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m/>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9A2FA-0761-462A-AF6A-9D77F2CA1CFF}"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101EE1-77AE-4AF4-A4FE-33F711A0CA2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8FFF2-6BEB-4E61-8744-E86CD441E9AF}"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3">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11CA7D7-C4EE-4FCA-A523-0FCBAEC5FCAE}" sourceName="Size">
  <pivotTables>
    <pivotTable tabId="21" name="Total Sales"/>
    <pivotTable tabId="23" name="Total Sales"/>
    <pivotTable tabId="25" name="Total Sales"/>
  </pivotTables>
  <data>
    <tabular pivotCacheId="213166622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9BF4002-F0C5-4173-BF29-D3938A3C279A}" sourceName="Roast Type Name">
  <pivotTables>
    <pivotTable tabId="21" name="Total Sales"/>
    <pivotTable tabId="23" name="Total Sales"/>
    <pivotTable tabId="25" name="Total Sales"/>
  </pivotTables>
  <data>
    <tabular pivotCacheId="21316662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B85B6BC-2283-455B-880C-4CE85B590750}" sourceName="Loyalty Card">
  <pivotTables>
    <pivotTable tabId="21" name="Total Sales"/>
    <pivotTable tabId="23" name="Total Sales"/>
    <pivotTable tabId="25" name="Total Sales"/>
  </pivotTables>
  <data>
    <tabular pivotCacheId="21316662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12EAC63-4D8F-44F3-A4BC-FC1F58028FBA}" cache="Slicer_Size" caption="Size" columnCount="2" rowHeight="241300"/>
  <slicer name="Roast Type Name" xr10:uid="{282244A4-6C14-4465-8C15-DCE4FE61D68E}" cache="Slicer_Roast_Type_Name" caption="Roast Type Name" columnCount="3" rowHeight="241300"/>
  <slicer name="Loyalty Card" xr10:uid="{112B787B-F00A-450C-99A5-C28D59C0421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AB74E7-8327-449F-A28B-D47E80B5DF87}" name="Table1" displayName="Table1" ref="A1:P1001" totalsRowShown="0" headerRowDxfId="11">
  <autoFilter ref="A1:P1001" xr:uid="{EEAB74E7-8327-449F-A28B-D47E80B5DF87}"/>
  <tableColumns count="16">
    <tableColumn id="1" xr3:uid="{0391912F-0A14-4842-84EC-B4193F4AC580}" name="Order ID" dataDxfId="10"/>
    <tableColumn id="2" xr3:uid="{73F187CD-3A82-4EDA-A449-EC092AE02B53}" name="Order Date" dataDxfId="9"/>
    <tableColumn id="3" xr3:uid="{F58FD7D5-8C7A-4BE5-9EC3-D140B04FF6FB}" name="Customer ID" dataDxfId="8"/>
    <tableColumn id="4" xr3:uid="{9DDF8985-4AD6-4B12-8D59-7DC17486F898}" name="Product ID"/>
    <tableColumn id="5" xr3:uid="{12A46B62-1581-43E8-B099-B305B0DBACBA}" name="Quantity" dataDxfId="7"/>
    <tableColumn id="6" xr3:uid="{F21DBE1A-6023-4163-B46D-BB4D8E923642}" name="Customer Name" dataDxfId="6">
      <calculatedColumnFormula>_xlfn.XLOOKUP(C2,customers!$A$1:$A$1001,customers!$B$1:$B$1001,,0)</calculatedColumnFormula>
    </tableColumn>
    <tableColumn id="7" xr3:uid="{39301076-B351-4688-8B7A-F0FEAB15F82F}" name="Email" dataDxfId="5">
      <calculatedColumnFormula>IF(_xlfn.XLOOKUP(C2,customers!$A$1:$A$1001,customers!$C$1:$C$1001,,0)=0,"",(_xlfn.XLOOKUP(C2,customers!$A$1:$A$1001,customers!$C$1:$C$1001,,0)))</calculatedColumnFormula>
    </tableColumn>
    <tableColumn id="8" xr3:uid="{B1241C60-AE5F-44AD-91CA-D2BD8DF734DB}" name="Country" dataDxfId="4">
      <calculatedColumnFormula>_xlfn.XLOOKUP(orders!C2,customers!$A$1:$A$1001,customers!$G$1:$G$1001,,0)</calculatedColumnFormula>
    </tableColumn>
    <tableColumn id="9" xr3:uid="{170FB479-4B54-408B-AD87-4207D11816E2}" name="Coffee Type">
      <calculatedColumnFormula>INDEX(products!$A$1:$G$49,MATCH(orders!$D2,products!$A$1:$A$49,0),MATCH(orders!I$1,products!$A$1:$G$1,0))</calculatedColumnFormula>
    </tableColumn>
    <tableColumn id="10" xr3:uid="{88695C5D-0E97-44FB-921F-5512F69E4EC7}" name="Roast Type">
      <calculatedColumnFormula>INDEX(products!$A$1:$G$49,MATCH(orders!$D2,products!$A$1:$A$49,0),MATCH(orders!J$1,products!$A$1:$G$1,0))</calculatedColumnFormula>
    </tableColumn>
    <tableColumn id="11" xr3:uid="{3E342D8B-206C-41D6-8CCF-4F8E6BC021E0}" name="Size" dataDxfId="3">
      <calculatedColumnFormula>INDEX(products!$A$1:$G$49,MATCH(orders!$D2,products!$A$1:$A$49,0),MATCH(orders!K$1,products!$A$1:$G$1,0))</calculatedColumnFormula>
    </tableColumn>
    <tableColumn id="12" xr3:uid="{DBB0C5A3-016B-480A-BE7A-9F9338EA149C}" name="Unit Price" dataDxfId="2">
      <calculatedColumnFormula>INDEX(products!$A$1:$G$49,MATCH(orders!$D2,products!$A$1:$A$49,0),MATCH(orders!L$1,products!$A$1:$G$1,0))</calculatedColumnFormula>
    </tableColumn>
    <tableColumn id="13" xr3:uid="{CE73DE08-93B3-4DA7-B31A-31ADE1F6A349}" name="Sales" dataDxfId="1">
      <calculatedColumnFormula>L2*E2</calculatedColumnFormula>
    </tableColumn>
    <tableColumn id="14" xr3:uid="{ECFF044D-C42C-4EE4-9D20-42DA70718EB1}" name="Coffe Type Name">
      <calculatedColumnFormula>IF(I2="Rob","Robusta",IF(I2="Exc","Excelsa",IF(I2="Ara","Arabica", IF(I2="Lib", "Liberica", ""))))</calculatedColumnFormula>
    </tableColumn>
    <tableColumn id="15" xr3:uid="{030B73F7-5A7E-42E5-839A-69321FABF337}" name="Roast Type Name">
      <calculatedColumnFormula>IF(J2="M", "Medium", IF(J2="L","Light", IF(J2="D","Dark")))</calculatedColumnFormula>
    </tableColumn>
    <tableColumn id="16" xr3:uid="{8499B066-5EB1-4C1C-9AB4-222FC220B068}" name="Loyalty Card" dataDxfId="0">
      <calculatedColumnFormula>_xlfn.XLOOKUP(Table1[[#This Row],[Customer ID]],customers!$A$1:$A$1001,customers!$I$1:$I$1001,,0)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28CDC85-954D-4C26-801C-C8490B371002}" sourceName="Order Date">
  <pivotTables>
    <pivotTable tabId="21" name="Total Sales"/>
    <pivotTable tabId="23" name="Total Sales"/>
    <pivotTable tabId="25" name="Total Sales"/>
  </pivotTables>
  <state minimalRefreshVersion="6" lastRefreshVersion="6" pivotCacheId="21316662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EEE503B-52BB-4DBE-9D67-CD1DA81D975D}"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E072-B242-43E7-BE49-44384378CAD7}">
  <dimension ref="A3:F48"/>
  <sheetViews>
    <sheetView tabSelected="1" topLeftCell="A2" workbookViewId="0">
      <selection activeCell="XFD22" sqref="XFD22"/>
    </sheetView>
  </sheetViews>
  <sheetFormatPr defaultRowHeight="15" x14ac:dyDescent="0.25"/>
  <cols>
    <col min="1" max="1" width="13.140625" bestFit="1" customWidth="1"/>
    <col min="2" max="2" width="22" bestFit="1" customWidth="1"/>
    <col min="3" max="3" width="18.7109375" bestFit="1" customWidth="1"/>
    <col min="4" max="4" width="7.42578125" bestFit="1" customWidth="1"/>
    <col min="5" max="5" width="7.85546875" bestFit="1" customWidth="1"/>
    <col min="6" max="6" width="8.140625" bestFit="1" customWidth="1"/>
    <col min="7" max="7" width="11.28515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7207-EC24-402B-80B0-79D9457A6660}">
  <dimension ref="A3:B6"/>
  <sheetViews>
    <sheetView topLeftCell="A2" workbookViewId="0">
      <selection activeCell="A5" sqref="A5"/>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 min="7" max="7" width="11.28515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AFF2-1B49-46F1-A7D6-6A185912340C}">
  <dimension ref="A3:B8"/>
  <sheetViews>
    <sheetView topLeftCell="A2" workbookViewId="0">
      <selection activeCell="B14" sqref="B14"/>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 min="7" max="7" width="11.28515625" bestFit="1" customWidth="1"/>
  </cols>
  <sheetData>
    <row r="3" spans="1:2" x14ac:dyDescent="0.25">
      <c r="A3" s="6" t="s">
        <v>4</v>
      </c>
      <c r="B3" t="s">
        <v>6220</v>
      </c>
    </row>
    <row r="4" spans="1:2" x14ac:dyDescent="0.25">
      <c r="A4" t="s">
        <v>3753</v>
      </c>
      <c r="B4" s="5">
        <v>278.01</v>
      </c>
    </row>
    <row r="5" spans="1:2" x14ac:dyDescent="0.25">
      <c r="A5" t="s">
        <v>1598</v>
      </c>
      <c r="B5" s="5">
        <v>281.67499999999995</v>
      </c>
    </row>
    <row r="6" spans="1:2" x14ac:dyDescent="0.25">
      <c r="A6" t="s">
        <v>2587</v>
      </c>
      <c r="B6" s="5">
        <v>289.11</v>
      </c>
    </row>
    <row r="7" spans="1:2" x14ac:dyDescent="0.25">
      <c r="A7" t="s">
        <v>5765</v>
      </c>
      <c r="B7" s="5">
        <v>307.04499999999996</v>
      </c>
    </row>
    <row r="8" spans="1:2" x14ac:dyDescent="0.25">
      <c r="A8" t="s">
        <v>5114</v>
      </c>
      <c r="B8" s="5">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25.28515625" customWidth="1"/>
    <col min="8" max="8" width="16.5703125" customWidth="1"/>
    <col min="9" max="9" width="13.140625" customWidth="1"/>
    <col min="10" max="10" width="12.42578125" customWidth="1"/>
    <col min="11" max="11" width="6.28515625" bestFit="1" customWidth="1"/>
    <col min="12" max="12" width="11.28515625" customWidth="1"/>
    <col min="13" max="13" width="9.42578125" bestFit="1" customWidth="1"/>
    <col min="14" max="14" width="17.7109375" customWidth="1"/>
    <col min="15" max="15" width="18.1406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 IF(I2="Lib", "Liberica", ""))))</f>
        <v>Robusta</v>
      </c>
      <c r="O2" t="str">
        <f>IF(J2="M", "Medium", IF(J2="L","Light", IF(J2="D","Dark")))</f>
        <v>Medium</v>
      </c>
      <c r="P2" t="str">
        <f>_xlfn.XLOOKUP(Table1[[#This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 IF(I3="Lib", "Liberica", ""))))</f>
        <v>Excelsa</v>
      </c>
      <c r="O3" t="str">
        <f t="shared" ref="O3:O66" si="2">IF(J3="M", "Medium", IF(J3="L","Light", IF(J3="D","Dark")))</f>
        <v>Medium</v>
      </c>
      <c r="P3" t="str">
        <f>_xlfn.XLOOKUP(Table1[[#This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c r="H9" s="2"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 IF(I67="Lib", "Liberica", ""))))</f>
        <v>Robusta</v>
      </c>
      <c r="O67" t="str">
        <f t="shared" ref="O67:O130" si="5">IF(J67="M", "Medium", IF(J67="L","Light", IF(J67="D","Dark")))</f>
        <v>Dark</v>
      </c>
      <c r="P67" t="str">
        <f>_xlfn.XLOOKUP(Table1[[#This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 IF(I131="Lib", "Liberica", ""))))</f>
        <v>Excelsa</v>
      </c>
      <c r="O131" t="str">
        <f t="shared" ref="O131:O194" si="8">IF(J131="M", "Medium", IF(J131="L","Light", IF(J131="D","Dark")))</f>
        <v>Dark</v>
      </c>
      <c r="P131" t="str">
        <f>_xlfn.XLOOKUP(Table1[[#This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 IF(I195="Lib", "Liberica", ""))))</f>
        <v>Excelsa</v>
      </c>
      <c r="O195" t="str">
        <f t="shared" ref="O195:O258" si="11">IF(J195="M", "Medium", IF(J195="L","Light", IF(J195="D","Dark")))</f>
        <v>Light</v>
      </c>
      <c r="P195" t="str">
        <f>_xlfn.XLOOKUP(Table1[[#This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 IF(I259="Lib", "Liberica", ""))))</f>
        <v>Excelsa</v>
      </c>
      <c r="O259" t="str">
        <f t="shared" ref="O259:O322" si="14">IF(J259="M", "Medium", IF(J259="L","Light", IF(J259="D","Dark")))</f>
        <v>Dark</v>
      </c>
      <c r="P259" t="str">
        <f>_xlfn.XLOOKUP(Table1[[#This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 IF(I323="Lib", "Liberica", ""))))</f>
        <v>Arabica</v>
      </c>
      <c r="O323" t="str">
        <f t="shared" ref="O323:O386" si="17">IF(J323="M", "Medium", IF(J323="L","Light", IF(J323="D","Dark")))</f>
        <v>Medium</v>
      </c>
      <c r="P323" t="str">
        <f>_xlfn.XLOOKUP(Table1[[#This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 IF(I387="Lib", "Liberica", ""))))</f>
        <v>Liberica</v>
      </c>
      <c r="O387" t="str">
        <f t="shared" ref="O387:O450" si="20">IF(J387="M", "Medium", IF(J387="L","Light", IF(J387="D","Dark")))</f>
        <v>Medium</v>
      </c>
      <c r="P387" t="str">
        <f>_xlfn.XLOOKUP(Table1[[#This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 IF(I451="Lib", "Liberica", ""))))</f>
        <v>Robusta</v>
      </c>
      <c r="O451" t="str">
        <f t="shared" ref="O451:O514" si="23">IF(J451="M", "Medium", IF(J451="L","Light", IF(J451="D","Dark")))</f>
        <v>Dark</v>
      </c>
      <c r="P451" t="str">
        <f>_xlfn.XLOOKUP(Table1[[#This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 IF(I515="Lib", "Liberica", ""))))</f>
        <v>Liberica</v>
      </c>
      <c r="O515" t="str">
        <f t="shared" ref="O515:O578" si="26">IF(J515="M", "Medium", IF(J515="L","Light", IF(J515="D","Dark")))</f>
        <v>Light</v>
      </c>
      <c r="P515" t="str">
        <f>_xlfn.XLOOKUP(Table1[[#This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 IF(I579="Lib", "Liberica", ""))))</f>
        <v>Liberica</v>
      </c>
      <c r="O579" t="str">
        <f t="shared" ref="O579:O642" si="29">IF(J579="M", "Medium", IF(J579="L","Light", IF(J579="D","Dark")))</f>
        <v>Medium</v>
      </c>
      <c r="P579" t="str">
        <f>_xlfn.XLOOKUP(Table1[[#This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 IF(I643="Lib", "Liberica", ""))))</f>
        <v>Robusta</v>
      </c>
      <c r="O643" t="str">
        <f t="shared" ref="O643:O706" si="32">IF(J643="M", "Medium", IF(J643="L","Light", IF(J643="D","Dark")))</f>
        <v>Light</v>
      </c>
      <c r="P643" t="str">
        <f>_xlfn.XLOOKUP(Table1[[#This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 IF(I707="Lib", "Liberica", ""))))</f>
        <v>Excelsa</v>
      </c>
      <c r="O707" t="str">
        <f t="shared" ref="O707:O770" si="35">IF(J707="M", "Medium", IF(J707="L","Light", IF(J707="D","Dark")))</f>
        <v>Light</v>
      </c>
      <c r="P707" t="str">
        <f>_xlfn.XLOOKUP(Table1[[#This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 IF(I771="Lib", "Liberica", ""))))</f>
        <v>Robusta</v>
      </c>
      <c r="O771" t="str">
        <f t="shared" ref="O771:O834" si="38">IF(J771="M", "Medium", IF(J771="L","Light", IF(J771="D","Dark")))</f>
        <v>Medium</v>
      </c>
      <c r="P771" t="str">
        <f>_xlfn.XLOOKUP(Table1[[#This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 IF(I835="Lib", "Liberica", ""))))</f>
        <v>Robusta</v>
      </c>
      <c r="O835" t="str">
        <f t="shared" ref="O835:O898" si="41">IF(J835="M", "Medium", IF(J835="L","Light", IF(J835="D","Dark")))</f>
        <v>Dark</v>
      </c>
      <c r="P835" t="str">
        <f>_xlfn.XLOOKUP(Table1[[#This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 IF(I899="Lib", "Liberica", ""))))</f>
        <v>Excelsa</v>
      </c>
      <c r="O899" t="str">
        <f t="shared" ref="O899:O962" si="44">IF(J899="M", "Medium", IF(J899="L","Light", IF(J899="D","Dark")))</f>
        <v>Dark</v>
      </c>
      <c r="P899" t="str">
        <f>_xlfn.XLOOKUP(Table1[[#This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 IF(I963="Lib", "Liberica", ""))))</f>
        <v>Arabica</v>
      </c>
      <c r="O963" t="str">
        <f t="shared" ref="O963:O1001" si="47">IF(J963="M", "Medium", IF(J963="L","Light", IF(J963="D","Dark")))</f>
        <v>Dark</v>
      </c>
      <c r="P963" t="str">
        <f>_xlfn.XLOOKUP(Table1[[#This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15" sqref="H1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ACA5-921E-4327-80E8-E8B7C616F831}">
  <dimension ref="A1"/>
  <sheetViews>
    <sheetView showGridLines="0" showRowColHeaders="0" workbookViewId="0">
      <selection activeCell="V21" sqref="V21"/>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Sales by Country</vt:lpstr>
      <vt:lpstr>Top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DORCAS</cp:lastModifiedBy>
  <cp:revision/>
  <dcterms:created xsi:type="dcterms:W3CDTF">2022-11-26T09:51:45Z</dcterms:created>
  <dcterms:modified xsi:type="dcterms:W3CDTF">2026-02-19T06:52:56Z</dcterms:modified>
  <cp:category/>
  <cp:contentStatus/>
</cp:coreProperties>
</file>